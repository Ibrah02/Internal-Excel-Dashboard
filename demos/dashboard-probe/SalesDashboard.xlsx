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Data" sheetId="2" state="visible" r:id="rId2"/>
    <sheet name="Monthly" sheetId="3" state="visible" r:id="rId3"/>
    <sheet name="ByRegion" sheetId="4" state="visible" r:id="rId4"/>
    <sheet name="ByProduc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0F6E56"/>
      <sz val="20"/>
    </font>
    <font>
      <b val="1"/>
      <color rgb="000F6E56"/>
      <sz val="11"/>
    </font>
    <font>
      <b val="1"/>
      <sz val="18"/>
    </font>
  </fonts>
  <fills count="4">
    <fill>
      <patternFill/>
    </fill>
    <fill>
      <patternFill patternType="gray125"/>
    </fill>
    <fill>
      <patternFill patternType="solid">
        <fgColor rgb="001D9E75"/>
      </patternFill>
    </fill>
    <fill>
      <patternFill patternType="solid">
        <fgColor rgb="00E1F5EE"/>
      </patternFill>
    </fill>
  </fills>
  <borders count="2">
    <border>
      <left/>
      <right/>
      <top/>
      <bottom/>
      <diagonal/>
    </border>
    <border>
      <left style="thin">
        <color rgb="009FE1CB"/>
      </left>
      <right style="thin">
        <color rgb="009FE1CB"/>
      </right>
      <top style="thin">
        <color rgb="009FE1CB"/>
      </top>
      <bottom style="thin">
        <color rgb="009FE1C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left"/>
    </xf>
    <xf numFmtId="3" fontId="5" fillId="3" borderId="1" pivotButton="0" quotePrefix="0" xfId="0"/>
    <xf numFmtId="4" fontId="5" fillId="3" borderId="1" pivotButton="0" quotePrefix="0" xfId="0"/>
    <xf numFmtId="49" fontId="5" fillId="3" borderId="1" pivotButton="0" quotePrefix="0" xfId="0"/>
    <xf numFmtId="0" fontId="1" fillId="2" borderId="0" pivotButton="0" quotePrefix="0" xfId="0"/>
    <xf numFmtId="3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by Month</a:t>
            </a:r>
          </a:p>
        </rich>
      </tx>
    </title>
    <plotArea>
      <lineChart>
        <grouping val="standard"/>
        <ser>
          <idx val="0"/>
          <order val="0"/>
          <tx>
            <strRef>
              <f>'Monthly'!B1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'Monthly'!$A$2:$A$13</f>
            </numRef>
          </cat>
          <val>
            <numRef>
              <f>'Monthly'!$B$2:$B$13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'ByRegion'!B1</f>
            </strRef>
          </tx>
          <spPr>
            <a:ln>
              <a:prstDash val="solid"/>
            </a:ln>
          </spPr>
          <cat>
            <numRef>
              <f>'ByRegion'!$A$2:$A$5</f>
            </numRef>
          </cat>
          <val>
            <numRef>
              <f>'ByRegion'!$B$2:$B$5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by Product</a:t>
            </a:r>
          </a:p>
        </rich>
      </tx>
    </title>
    <plotArea>
      <pieChart>
        <varyColors val="1"/>
        <ser>
          <idx val="0"/>
          <order val="0"/>
          <tx>
            <strRef>
              <f>'ByProduct'!B1</f>
            </strRef>
          </tx>
          <spPr>
            <a:ln>
              <a:prstDash val="solid"/>
            </a:ln>
          </spPr>
          <cat>
            <numRef>
              <f>'ByProduct'!$A$2:$A$4</f>
            </numRef>
          </cat>
          <val>
            <numRef>
              <f>'ByProduct'!$B$2:$B$4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6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23</row>
      <rowOff>0</rowOff>
    </from>
    <ext cx="288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5</col>
      <colOff>0</colOff>
      <row>23</row>
      <rowOff>0</rowOff>
    </from>
    <ext cx="288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3" max="3"/>
    <col width="20" customWidth="1" min="5" max="5"/>
    <col width="20" customWidth="1" min="7" max="7"/>
  </cols>
  <sheetData>
    <row r="1">
      <c r="A1" s="1" t="inlineStr">
        <is>
          <t>2025 Sales Dashboard</t>
        </is>
      </c>
    </row>
    <row r="3">
      <c r="A3" s="2" t="inlineStr">
        <is>
          <t>Total Revenue</t>
        </is>
      </c>
      <c r="C3" s="2" t="inlineStr">
        <is>
          <t>Total Units</t>
        </is>
      </c>
      <c r="E3" s="2" t="inlineStr">
        <is>
          <t>Avg Order Value</t>
        </is>
      </c>
      <c r="G3" s="2" t="inlineStr">
        <is>
          <t>Top Region</t>
        </is>
      </c>
    </row>
    <row r="4">
      <c r="A4" s="3">
        <f>SUM(Data!E2:E145)</f>
        <v/>
      </c>
      <c r="C4" s="3">
        <f>SUM(Data!D2:D145)</f>
        <v/>
      </c>
      <c r="E4" s="4">
        <f>SUM(Data!E2:E145)/SUM(Data!D2:D145)</f>
        <v/>
      </c>
      <c r="G4" s="5">
        <f>INDEX(ByRegion!A2:A5,MATCH(MAX(ByRegion!B2:B5),ByRegion!B2:B5,0))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4" customWidth="1" min="5" max="5"/>
  </cols>
  <sheetData>
    <row r="1">
      <c r="A1" s="6" t="inlineStr">
        <is>
          <t>Month</t>
        </is>
      </c>
      <c r="B1" s="6" t="inlineStr">
        <is>
          <t>Region</t>
        </is>
      </c>
      <c r="C1" s="6" t="inlineStr">
        <is>
          <t>Product</t>
        </is>
      </c>
      <c r="D1" s="6" t="inlineStr">
        <is>
          <t>Units</t>
        </is>
      </c>
      <c r="E1" s="6" t="inlineStr">
        <is>
          <t>Revenue</t>
        </is>
      </c>
    </row>
    <row r="2">
      <c r="A2" t="inlineStr">
        <is>
          <t>2025-01</t>
        </is>
      </c>
      <c r="B2" t="inlineStr">
        <is>
          <t>North</t>
        </is>
      </c>
      <c r="C2" t="inlineStr">
        <is>
          <t>Widgets</t>
        </is>
      </c>
      <c r="D2" t="n">
        <v>156</v>
      </c>
      <c r="E2" s="7" t="n">
        <v>3900</v>
      </c>
    </row>
    <row r="3">
      <c r="A3" t="inlineStr">
        <is>
          <t>2025-01</t>
        </is>
      </c>
      <c r="B3" t="inlineStr">
        <is>
          <t>North</t>
        </is>
      </c>
      <c r="C3" t="inlineStr">
        <is>
          <t>Gadgets</t>
        </is>
      </c>
      <c r="D3" t="n">
        <v>104</v>
      </c>
      <c r="E3" s="7" t="n">
        <v>6240</v>
      </c>
    </row>
    <row r="4">
      <c r="A4" t="inlineStr">
        <is>
          <t>2025-01</t>
        </is>
      </c>
      <c r="B4" t="inlineStr">
        <is>
          <t>North</t>
        </is>
      </c>
      <c r="C4" t="inlineStr">
        <is>
          <t>Gizmos</t>
        </is>
      </c>
      <c r="D4" t="n">
        <v>58</v>
      </c>
      <c r="E4" s="7" t="n">
        <v>6960</v>
      </c>
    </row>
    <row r="5">
      <c r="A5" t="inlineStr">
        <is>
          <t>2025-01</t>
        </is>
      </c>
      <c r="B5" t="inlineStr">
        <is>
          <t>South</t>
        </is>
      </c>
      <c r="C5" t="inlineStr">
        <is>
          <t>Widgets</t>
        </is>
      </c>
      <c r="D5" t="n">
        <v>102</v>
      </c>
      <c r="E5" s="7" t="n">
        <v>2550</v>
      </c>
    </row>
    <row r="6">
      <c r="A6" t="inlineStr">
        <is>
          <t>2025-01</t>
        </is>
      </c>
      <c r="B6" t="inlineStr">
        <is>
          <t>South</t>
        </is>
      </c>
      <c r="C6" t="inlineStr">
        <is>
          <t>Gadgets</t>
        </is>
      </c>
      <c r="D6" t="n">
        <v>68</v>
      </c>
      <c r="E6" s="7" t="n">
        <v>4080</v>
      </c>
    </row>
    <row r="7">
      <c r="A7" t="inlineStr">
        <is>
          <t>2025-01</t>
        </is>
      </c>
      <c r="B7" t="inlineStr">
        <is>
          <t>South</t>
        </is>
      </c>
      <c r="C7" t="inlineStr">
        <is>
          <t>Gizmos</t>
        </is>
      </c>
      <c r="D7" t="n">
        <v>38</v>
      </c>
      <c r="E7" s="7" t="n">
        <v>4560</v>
      </c>
    </row>
    <row r="8">
      <c r="A8" t="inlineStr">
        <is>
          <t>2025-01</t>
        </is>
      </c>
      <c r="B8" t="inlineStr">
        <is>
          <t>East</t>
        </is>
      </c>
      <c r="C8" t="inlineStr">
        <is>
          <t>Widgets</t>
        </is>
      </c>
      <c r="D8" t="n">
        <v>126</v>
      </c>
      <c r="E8" s="7" t="n">
        <v>3150</v>
      </c>
    </row>
    <row r="9">
      <c r="A9" t="inlineStr">
        <is>
          <t>2025-01</t>
        </is>
      </c>
      <c r="B9" t="inlineStr">
        <is>
          <t>East</t>
        </is>
      </c>
      <c r="C9" t="inlineStr">
        <is>
          <t>Gadgets</t>
        </is>
      </c>
      <c r="D9" t="n">
        <v>84</v>
      </c>
      <c r="E9" s="7" t="n">
        <v>5040</v>
      </c>
    </row>
    <row r="10">
      <c r="A10" t="inlineStr">
        <is>
          <t>2025-01</t>
        </is>
      </c>
      <c r="B10" t="inlineStr">
        <is>
          <t>East</t>
        </is>
      </c>
      <c r="C10" t="inlineStr">
        <is>
          <t>Gizmos</t>
        </is>
      </c>
      <c r="D10" t="n">
        <v>47</v>
      </c>
      <c r="E10" s="7" t="n">
        <v>5640</v>
      </c>
    </row>
    <row r="11">
      <c r="A11" t="inlineStr">
        <is>
          <t>2025-01</t>
        </is>
      </c>
      <c r="B11" t="inlineStr">
        <is>
          <t>West</t>
        </is>
      </c>
      <c r="C11" t="inlineStr">
        <is>
          <t>Widgets</t>
        </is>
      </c>
      <c r="D11" t="n">
        <v>114</v>
      </c>
      <c r="E11" s="7" t="n">
        <v>2850</v>
      </c>
    </row>
    <row r="12">
      <c r="A12" t="inlineStr">
        <is>
          <t>2025-01</t>
        </is>
      </c>
      <c r="B12" t="inlineStr">
        <is>
          <t>West</t>
        </is>
      </c>
      <c r="C12" t="inlineStr">
        <is>
          <t>Gadgets</t>
        </is>
      </c>
      <c r="D12" t="n">
        <v>76</v>
      </c>
      <c r="E12" s="7" t="n">
        <v>4560</v>
      </c>
    </row>
    <row r="13">
      <c r="A13" t="inlineStr">
        <is>
          <t>2025-01</t>
        </is>
      </c>
      <c r="B13" t="inlineStr">
        <is>
          <t>West</t>
        </is>
      </c>
      <c r="C13" t="inlineStr">
        <is>
          <t>Gizmos</t>
        </is>
      </c>
      <c r="D13" t="n">
        <v>43</v>
      </c>
      <c r="E13" s="7" t="n">
        <v>5160</v>
      </c>
    </row>
    <row r="14">
      <c r="A14" t="inlineStr">
        <is>
          <t>2025-02</t>
        </is>
      </c>
      <c r="B14" t="inlineStr">
        <is>
          <t>North</t>
        </is>
      </c>
      <c r="C14" t="inlineStr">
        <is>
          <t>Widgets</t>
        </is>
      </c>
      <c r="D14" t="n">
        <v>165</v>
      </c>
      <c r="E14" s="7" t="n">
        <v>4125</v>
      </c>
    </row>
    <row r="15">
      <c r="A15" t="inlineStr">
        <is>
          <t>2025-02</t>
        </is>
      </c>
      <c r="B15" t="inlineStr">
        <is>
          <t>North</t>
        </is>
      </c>
      <c r="C15" t="inlineStr">
        <is>
          <t>Gadgets</t>
        </is>
      </c>
      <c r="D15" t="n">
        <v>110</v>
      </c>
      <c r="E15" s="7" t="n">
        <v>6600</v>
      </c>
    </row>
    <row r="16">
      <c r="A16" t="inlineStr">
        <is>
          <t>2025-02</t>
        </is>
      </c>
      <c r="B16" t="inlineStr">
        <is>
          <t>North</t>
        </is>
      </c>
      <c r="C16" t="inlineStr">
        <is>
          <t>Gizmos</t>
        </is>
      </c>
      <c r="D16" t="n">
        <v>62</v>
      </c>
      <c r="E16" s="7" t="n">
        <v>7440</v>
      </c>
    </row>
    <row r="17">
      <c r="A17" t="inlineStr">
        <is>
          <t>2025-02</t>
        </is>
      </c>
      <c r="B17" t="inlineStr">
        <is>
          <t>South</t>
        </is>
      </c>
      <c r="C17" t="inlineStr">
        <is>
          <t>Widgets</t>
        </is>
      </c>
      <c r="D17" t="n">
        <v>108</v>
      </c>
      <c r="E17" s="7" t="n">
        <v>2700</v>
      </c>
    </row>
    <row r="18">
      <c r="A18" t="inlineStr">
        <is>
          <t>2025-02</t>
        </is>
      </c>
      <c r="B18" t="inlineStr">
        <is>
          <t>South</t>
        </is>
      </c>
      <c r="C18" t="inlineStr">
        <is>
          <t>Gadgets</t>
        </is>
      </c>
      <c r="D18" t="n">
        <v>72</v>
      </c>
      <c r="E18" s="7" t="n">
        <v>4320</v>
      </c>
    </row>
    <row r="19">
      <c r="A19" t="inlineStr">
        <is>
          <t>2025-02</t>
        </is>
      </c>
      <c r="B19" t="inlineStr">
        <is>
          <t>South</t>
        </is>
      </c>
      <c r="C19" t="inlineStr">
        <is>
          <t>Gizmos</t>
        </is>
      </c>
      <c r="D19" t="n">
        <v>40</v>
      </c>
      <c r="E19" s="7" t="n">
        <v>4800</v>
      </c>
    </row>
    <row r="20">
      <c r="A20" t="inlineStr">
        <is>
          <t>2025-02</t>
        </is>
      </c>
      <c r="B20" t="inlineStr">
        <is>
          <t>East</t>
        </is>
      </c>
      <c r="C20" t="inlineStr">
        <is>
          <t>Widgets</t>
        </is>
      </c>
      <c r="D20" t="n">
        <v>133</v>
      </c>
      <c r="E20" s="7" t="n">
        <v>3325</v>
      </c>
    </row>
    <row r="21">
      <c r="A21" t="inlineStr">
        <is>
          <t>2025-02</t>
        </is>
      </c>
      <c r="B21" t="inlineStr">
        <is>
          <t>East</t>
        </is>
      </c>
      <c r="C21" t="inlineStr">
        <is>
          <t>Gadgets</t>
        </is>
      </c>
      <c r="D21" t="n">
        <v>89</v>
      </c>
      <c r="E21" s="7" t="n">
        <v>5340</v>
      </c>
    </row>
    <row r="22">
      <c r="A22" t="inlineStr">
        <is>
          <t>2025-02</t>
        </is>
      </c>
      <c r="B22" t="inlineStr">
        <is>
          <t>East</t>
        </is>
      </c>
      <c r="C22" t="inlineStr">
        <is>
          <t>Gizmos</t>
        </is>
      </c>
      <c r="D22" t="n">
        <v>50</v>
      </c>
      <c r="E22" s="7" t="n">
        <v>6000</v>
      </c>
    </row>
    <row r="23">
      <c r="A23" t="inlineStr">
        <is>
          <t>2025-02</t>
        </is>
      </c>
      <c r="B23" t="inlineStr">
        <is>
          <t>West</t>
        </is>
      </c>
      <c r="C23" t="inlineStr">
        <is>
          <t>Widgets</t>
        </is>
      </c>
      <c r="D23" t="n">
        <v>120</v>
      </c>
      <c r="E23" s="7" t="n">
        <v>3000</v>
      </c>
    </row>
    <row r="24">
      <c r="A24" t="inlineStr">
        <is>
          <t>2025-02</t>
        </is>
      </c>
      <c r="B24" t="inlineStr">
        <is>
          <t>West</t>
        </is>
      </c>
      <c r="C24" t="inlineStr">
        <is>
          <t>Gadgets</t>
        </is>
      </c>
      <c r="D24" t="n">
        <v>80</v>
      </c>
      <c r="E24" s="7" t="n">
        <v>4800</v>
      </c>
    </row>
    <row r="25">
      <c r="A25" t="inlineStr">
        <is>
          <t>2025-02</t>
        </is>
      </c>
      <c r="B25" t="inlineStr">
        <is>
          <t>West</t>
        </is>
      </c>
      <c r="C25" t="inlineStr">
        <is>
          <t>Gizmos</t>
        </is>
      </c>
      <c r="D25" t="n">
        <v>45</v>
      </c>
      <c r="E25" s="7" t="n">
        <v>5400</v>
      </c>
    </row>
    <row r="26">
      <c r="A26" t="inlineStr">
        <is>
          <t>2025-03</t>
        </is>
      </c>
      <c r="B26" t="inlineStr">
        <is>
          <t>North</t>
        </is>
      </c>
      <c r="C26" t="inlineStr">
        <is>
          <t>Widgets</t>
        </is>
      </c>
      <c r="D26" t="n">
        <v>173</v>
      </c>
      <c r="E26" s="7" t="n">
        <v>4325</v>
      </c>
    </row>
    <row r="27">
      <c r="A27" t="inlineStr">
        <is>
          <t>2025-03</t>
        </is>
      </c>
      <c r="B27" t="inlineStr">
        <is>
          <t>North</t>
        </is>
      </c>
      <c r="C27" t="inlineStr">
        <is>
          <t>Gadgets</t>
        </is>
      </c>
      <c r="D27" t="n">
        <v>116</v>
      </c>
      <c r="E27" s="7" t="n">
        <v>6960</v>
      </c>
    </row>
    <row r="28">
      <c r="A28" t="inlineStr">
        <is>
          <t>2025-03</t>
        </is>
      </c>
      <c r="B28" t="inlineStr">
        <is>
          <t>North</t>
        </is>
      </c>
      <c r="C28" t="inlineStr">
        <is>
          <t>Gizmos</t>
        </is>
      </c>
      <c r="D28" t="n">
        <v>65</v>
      </c>
      <c r="E28" s="7" t="n">
        <v>7800</v>
      </c>
    </row>
    <row r="29">
      <c r="A29" t="inlineStr">
        <is>
          <t>2025-03</t>
        </is>
      </c>
      <c r="B29" t="inlineStr">
        <is>
          <t>South</t>
        </is>
      </c>
      <c r="C29" t="inlineStr">
        <is>
          <t>Widgets</t>
        </is>
      </c>
      <c r="D29" t="n">
        <v>113</v>
      </c>
      <c r="E29" s="7" t="n">
        <v>2825</v>
      </c>
    </row>
    <row r="30">
      <c r="A30" t="inlineStr">
        <is>
          <t>2025-03</t>
        </is>
      </c>
      <c r="B30" t="inlineStr">
        <is>
          <t>South</t>
        </is>
      </c>
      <c r="C30" t="inlineStr">
        <is>
          <t>Gadgets</t>
        </is>
      </c>
      <c r="D30" t="n">
        <v>76</v>
      </c>
      <c r="E30" s="7" t="n">
        <v>4560</v>
      </c>
    </row>
    <row r="31">
      <c r="A31" t="inlineStr">
        <is>
          <t>2025-03</t>
        </is>
      </c>
      <c r="B31" t="inlineStr">
        <is>
          <t>South</t>
        </is>
      </c>
      <c r="C31" t="inlineStr">
        <is>
          <t>Gizmos</t>
        </is>
      </c>
      <c r="D31" t="n">
        <v>43</v>
      </c>
      <c r="E31" s="7" t="n">
        <v>5160</v>
      </c>
    </row>
    <row r="32">
      <c r="A32" t="inlineStr">
        <is>
          <t>2025-03</t>
        </is>
      </c>
      <c r="B32" t="inlineStr">
        <is>
          <t>East</t>
        </is>
      </c>
      <c r="C32" t="inlineStr">
        <is>
          <t>Widgets</t>
        </is>
      </c>
      <c r="D32" t="n">
        <v>140</v>
      </c>
      <c r="E32" s="7" t="n">
        <v>3500</v>
      </c>
    </row>
    <row r="33">
      <c r="A33" t="inlineStr">
        <is>
          <t>2025-03</t>
        </is>
      </c>
      <c r="B33" t="inlineStr">
        <is>
          <t>East</t>
        </is>
      </c>
      <c r="C33" t="inlineStr">
        <is>
          <t>Gadgets</t>
        </is>
      </c>
      <c r="D33" t="n">
        <v>93</v>
      </c>
      <c r="E33" s="7" t="n">
        <v>5580</v>
      </c>
    </row>
    <row r="34">
      <c r="A34" t="inlineStr">
        <is>
          <t>2025-03</t>
        </is>
      </c>
      <c r="B34" t="inlineStr">
        <is>
          <t>East</t>
        </is>
      </c>
      <c r="C34" t="inlineStr">
        <is>
          <t>Gizmos</t>
        </is>
      </c>
      <c r="D34" t="n">
        <v>53</v>
      </c>
      <c r="E34" s="7" t="n">
        <v>6360</v>
      </c>
    </row>
    <row r="35">
      <c r="A35" t="inlineStr">
        <is>
          <t>2025-03</t>
        </is>
      </c>
      <c r="B35" t="inlineStr">
        <is>
          <t>West</t>
        </is>
      </c>
      <c r="C35" t="inlineStr">
        <is>
          <t>Widgets</t>
        </is>
      </c>
      <c r="D35" t="n">
        <v>127</v>
      </c>
      <c r="E35" s="7" t="n">
        <v>3175</v>
      </c>
    </row>
    <row r="36">
      <c r="A36" t="inlineStr">
        <is>
          <t>2025-03</t>
        </is>
      </c>
      <c r="B36" t="inlineStr">
        <is>
          <t>West</t>
        </is>
      </c>
      <c r="C36" t="inlineStr">
        <is>
          <t>Gadgets</t>
        </is>
      </c>
      <c r="D36" t="n">
        <v>85</v>
      </c>
      <c r="E36" s="7" t="n">
        <v>5100</v>
      </c>
    </row>
    <row r="37">
      <c r="A37" t="inlineStr">
        <is>
          <t>2025-03</t>
        </is>
      </c>
      <c r="B37" t="inlineStr">
        <is>
          <t>West</t>
        </is>
      </c>
      <c r="C37" t="inlineStr">
        <is>
          <t>Gizmos</t>
        </is>
      </c>
      <c r="D37" t="n">
        <v>48</v>
      </c>
      <c r="E37" s="7" t="n">
        <v>5760</v>
      </c>
    </row>
    <row r="38">
      <c r="A38" t="inlineStr">
        <is>
          <t>2025-04</t>
        </is>
      </c>
      <c r="B38" t="inlineStr">
        <is>
          <t>North</t>
        </is>
      </c>
      <c r="C38" t="inlineStr">
        <is>
          <t>Widgets</t>
        </is>
      </c>
      <c r="D38" t="n">
        <v>182</v>
      </c>
      <c r="E38" s="7" t="n">
        <v>4550</v>
      </c>
    </row>
    <row r="39">
      <c r="A39" t="inlineStr">
        <is>
          <t>2025-04</t>
        </is>
      </c>
      <c r="B39" t="inlineStr">
        <is>
          <t>North</t>
        </is>
      </c>
      <c r="C39" t="inlineStr">
        <is>
          <t>Gadgets</t>
        </is>
      </c>
      <c r="D39" t="n">
        <v>121</v>
      </c>
      <c r="E39" s="7" t="n">
        <v>7260</v>
      </c>
    </row>
    <row r="40">
      <c r="A40" t="inlineStr">
        <is>
          <t>2025-04</t>
        </is>
      </c>
      <c r="B40" t="inlineStr">
        <is>
          <t>North</t>
        </is>
      </c>
      <c r="C40" t="inlineStr">
        <is>
          <t>Gizmos</t>
        </is>
      </c>
      <c r="D40" t="n">
        <v>68</v>
      </c>
      <c r="E40" s="7" t="n">
        <v>8160</v>
      </c>
    </row>
    <row r="41">
      <c r="A41" t="inlineStr">
        <is>
          <t>2025-04</t>
        </is>
      </c>
      <c r="B41" t="inlineStr">
        <is>
          <t>South</t>
        </is>
      </c>
      <c r="C41" t="inlineStr">
        <is>
          <t>Widgets</t>
        </is>
      </c>
      <c r="D41" t="n">
        <v>119</v>
      </c>
      <c r="E41" s="7" t="n">
        <v>2975</v>
      </c>
    </row>
    <row r="42">
      <c r="A42" t="inlineStr">
        <is>
          <t>2025-04</t>
        </is>
      </c>
      <c r="B42" t="inlineStr">
        <is>
          <t>South</t>
        </is>
      </c>
      <c r="C42" t="inlineStr">
        <is>
          <t>Gadgets</t>
        </is>
      </c>
      <c r="D42" t="n">
        <v>79</v>
      </c>
      <c r="E42" s="7" t="n">
        <v>4740</v>
      </c>
    </row>
    <row r="43">
      <c r="A43" t="inlineStr">
        <is>
          <t>2025-04</t>
        </is>
      </c>
      <c r="B43" t="inlineStr">
        <is>
          <t>South</t>
        </is>
      </c>
      <c r="C43" t="inlineStr">
        <is>
          <t>Gizmos</t>
        </is>
      </c>
      <c r="D43" t="n">
        <v>45</v>
      </c>
      <c r="E43" s="7" t="n">
        <v>5400</v>
      </c>
    </row>
    <row r="44">
      <c r="A44" t="inlineStr">
        <is>
          <t>2025-04</t>
        </is>
      </c>
      <c r="B44" t="inlineStr">
        <is>
          <t>East</t>
        </is>
      </c>
      <c r="C44" t="inlineStr">
        <is>
          <t>Widgets</t>
        </is>
      </c>
      <c r="D44" t="n">
        <v>147</v>
      </c>
      <c r="E44" s="7" t="n">
        <v>3675</v>
      </c>
    </row>
    <row r="45">
      <c r="A45" t="inlineStr">
        <is>
          <t>2025-04</t>
        </is>
      </c>
      <c r="B45" t="inlineStr">
        <is>
          <t>East</t>
        </is>
      </c>
      <c r="C45" t="inlineStr">
        <is>
          <t>Gadgets</t>
        </is>
      </c>
      <c r="D45" t="n">
        <v>98</v>
      </c>
      <c r="E45" s="7" t="n">
        <v>5880</v>
      </c>
    </row>
    <row r="46">
      <c r="A46" t="inlineStr">
        <is>
          <t>2025-04</t>
        </is>
      </c>
      <c r="B46" t="inlineStr">
        <is>
          <t>East</t>
        </is>
      </c>
      <c r="C46" t="inlineStr">
        <is>
          <t>Gizmos</t>
        </is>
      </c>
      <c r="D46" t="n">
        <v>55</v>
      </c>
      <c r="E46" s="7" t="n">
        <v>6600</v>
      </c>
    </row>
    <row r="47">
      <c r="A47" t="inlineStr">
        <is>
          <t>2025-04</t>
        </is>
      </c>
      <c r="B47" t="inlineStr">
        <is>
          <t>West</t>
        </is>
      </c>
      <c r="C47" t="inlineStr">
        <is>
          <t>Widgets</t>
        </is>
      </c>
      <c r="D47" t="n">
        <v>133</v>
      </c>
      <c r="E47" s="7" t="n">
        <v>3325</v>
      </c>
    </row>
    <row r="48">
      <c r="A48" t="inlineStr">
        <is>
          <t>2025-04</t>
        </is>
      </c>
      <c r="B48" t="inlineStr">
        <is>
          <t>West</t>
        </is>
      </c>
      <c r="C48" t="inlineStr">
        <is>
          <t>Gadgets</t>
        </is>
      </c>
      <c r="D48" t="n">
        <v>89</v>
      </c>
      <c r="E48" s="7" t="n">
        <v>5340</v>
      </c>
    </row>
    <row r="49">
      <c r="A49" t="inlineStr">
        <is>
          <t>2025-04</t>
        </is>
      </c>
      <c r="B49" t="inlineStr">
        <is>
          <t>West</t>
        </is>
      </c>
      <c r="C49" t="inlineStr">
        <is>
          <t>Gizmos</t>
        </is>
      </c>
      <c r="D49" t="n">
        <v>50</v>
      </c>
      <c r="E49" s="7" t="n">
        <v>6000</v>
      </c>
    </row>
    <row r="50">
      <c r="A50" t="inlineStr">
        <is>
          <t>2025-05</t>
        </is>
      </c>
      <c r="B50" t="inlineStr">
        <is>
          <t>North</t>
        </is>
      </c>
      <c r="C50" t="inlineStr">
        <is>
          <t>Widgets</t>
        </is>
      </c>
      <c r="D50" t="n">
        <v>191</v>
      </c>
      <c r="E50" s="7" t="n">
        <v>4775</v>
      </c>
    </row>
    <row r="51">
      <c r="A51" t="inlineStr">
        <is>
          <t>2025-05</t>
        </is>
      </c>
      <c r="B51" t="inlineStr">
        <is>
          <t>North</t>
        </is>
      </c>
      <c r="C51" t="inlineStr">
        <is>
          <t>Gadgets</t>
        </is>
      </c>
      <c r="D51" t="n">
        <v>127</v>
      </c>
      <c r="E51" s="7" t="n">
        <v>7620</v>
      </c>
    </row>
    <row r="52">
      <c r="A52" t="inlineStr">
        <is>
          <t>2025-05</t>
        </is>
      </c>
      <c r="B52" t="inlineStr">
        <is>
          <t>North</t>
        </is>
      </c>
      <c r="C52" t="inlineStr">
        <is>
          <t>Gizmos</t>
        </is>
      </c>
      <c r="D52" t="n">
        <v>72</v>
      </c>
      <c r="E52" s="7" t="n">
        <v>8640</v>
      </c>
    </row>
    <row r="53">
      <c r="A53" t="inlineStr">
        <is>
          <t>2025-05</t>
        </is>
      </c>
      <c r="B53" t="inlineStr">
        <is>
          <t>South</t>
        </is>
      </c>
      <c r="C53" t="inlineStr">
        <is>
          <t>Widgets</t>
        </is>
      </c>
      <c r="D53" t="n">
        <v>125</v>
      </c>
      <c r="E53" s="7" t="n">
        <v>3125</v>
      </c>
    </row>
    <row r="54">
      <c r="A54" t="inlineStr">
        <is>
          <t>2025-05</t>
        </is>
      </c>
      <c r="B54" t="inlineStr">
        <is>
          <t>South</t>
        </is>
      </c>
      <c r="C54" t="inlineStr">
        <is>
          <t>Gadgets</t>
        </is>
      </c>
      <c r="D54" t="n">
        <v>83</v>
      </c>
      <c r="E54" s="7" t="n">
        <v>4980</v>
      </c>
    </row>
    <row r="55">
      <c r="A55" t="inlineStr">
        <is>
          <t>2025-05</t>
        </is>
      </c>
      <c r="B55" t="inlineStr">
        <is>
          <t>South</t>
        </is>
      </c>
      <c r="C55" t="inlineStr">
        <is>
          <t>Gizmos</t>
        </is>
      </c>
      <c r="D55" t="n">
        <v>47</v>
      </c>
      <c r="E55" s="7" t="n">
        <v>5640</v>
      </c>
    </row>
    <row r="56">
      <c r="A56" t="inlineStr">
        <is>
          <t>2025-05</t>
        </is>
      </c>
      <c r="B56" t="inlineStr">
        <is>
          <t>East</t>
        </is>
      </c>
      <c r="C56" t="inlineStr">
        <is>
          <t>Widgets</t>
        </is>
      </c>
      <c r="D56" t="n">
        <v>154</v>
      </c>
      <c r="E56" s="7" t="n">
        <v>3850</v>
      </c>
    </row>
    <row r="57">
      <c r="A57" t="inlineStr">
        <is>
          <t>2025-05</t>
        </is>
      </c>
      <c r="B57" t="inlineStr">
        <is>
          <t>East</t>
        </is>
      </c>
      <c r="C57" t="inlineStr">
        <is>
          <t>Gadgets</t>
        </is>
      </c>
      <c r="D57" t="n">
        <v>103</v>
      </c>
      <c r="E57" s="7" t="n">
        <v>6180</v>
      </c>
    </row>
    <row r="58">
      <c r="A58" t="inlineStr">
        <is>
          <t>2025-05</t>
        </is>
      </c>
      <c r="B58" t="inlineStr">
        <is>
          <t>East</t>
        </is>
      </c>
      <c r="C58" t="inlineStr">
        <is>
          <t>Gizmos</t>
        </is>
      </c>
      <c r="D58" t="n">
        <v>58</v>
      </c>
      <c r="E58" s="7" t="n">
        <v>6960</v>
      </c>
    </row>
    <row r="59">
      <c r="A59" t="inlineStr">
        <is>
          <t>2025-05</t>
        </is>
      </c>
      <c r="B59" t="inlineStr">
        <is>
          <t>West</t>
        </is>
      </c>
      <c r="C59" t="inlineStr">
        <is>
          <t>Widgets</t>
        </is>
      </c>
      <c r="D59" t="n">
        <v>140</v>
      </c>
      <c r="E59" s="7" t="n">
        <v>3500</v>
      </c>
    </row>
    <row r="60">
      <c r="A60" t="inlineStr">
        <is>
          <t>2025-05</t>
        </is>
      </c>
      <c r="B60" t="inlineStr">
        <is>
          <t>West</t>
        </is>
      </c>
      <c r="C60" t="inlineStr">
        <is>
          <t>Gadgets</t>
        </is>
      </c>
      <c r="D60" t="n">
        <v>93</v>
      </c>
      <c r="E60" s="7" t="n">
        <v>5580</v>
      </c>
    </row>
    <row r="61">
      <c r="A61" t="inlineStr">
        <is>
          <t>2025-05</t>
        </is>
      </c>
      <c r="B61" t="inlineStr">
        <is>
          <t>West</t>
        </is>
      </c>
      <c r="C61" t="inlineStr">
        <is>
          <t>Gizmos</t>
        </is>
      </c>
      <c r="D61" t="n">
        <v>52</v>
      </c>
      <c r="E61" s="7" t="n">
        <v>6240</v>
      </c>
    </row>
    <row r="62">
      <c r="A62" t="inlineStr">
        <is>
          <t>2025-06</t>
        </is>
      </c>
      <c r="B62" t="inlineStr">
        <is>
          <t>North</t>
        </is>
      </c>
      <c r="C62" t="inlineStr">
        <is>
          <t>Widgets</t>
        </is>
      </c>
      <c r="D62" t="n">
        <v>200</v>
      </c>
      <c r="E62" s="7" t="n">
        <v>5000</v>
      </c>
    </row>
    <row r="63">
      <c r="A63" t="inlineStr">
        <is>
          <t>2025-06</t>
        </is>
      </c>
      <c r="B63" t="inlineStr">
        <is>
          <t>North</t>
        </is>
      </c>
      <c r="C63" t="inlineStr">
        <is>
          <t>Gadgets</t>
        </is>
      </c>
      <c r="D63" t="n">
        <v>133</v>
      </c>
      <c r="E63" s="7" t="n">
        <v>7980</v>
      </c>
    </row>
    <row r="64">
      <c r="A64" t="inlineStr">
        <is>
          <t>2025-06</t>
        </is>
      </c>
      <c r="B64" t="inlineStr">
        <is>
          <t>North</t>
        </is>
      </c>
      <c r="C64" t="inlineStr">
        <is>
          <t>Gizmos</t>
        </is>
      </c>
      <c r="D64" t="n">
        <v>75</v>
      </c>
      <c r="E64" s="7" t="n">
        <v>9000</v>
      </c>
    </row>
    <row r="65">
      <c r="A65" t="inlineStr">
        <is>
          <t>2025-06</t>
        </is>
      </c>
      <c r="B65" t="inlineStr">
        <is>
          <t>South</t>
        </is>
      </c>
      <c r="C65" t="inlineStr">
        <is>
          <t>Widgets</t>
        </is>
      </c>
      <c r="D65" t="n">
        <v>131</v>
      </c>
      <c r="E65" s="7" t="n">
        <v>3275</v>
      </c>
    </row>
    <row r="66">
      <c r="A66" t="inlineStr">
        <is>
          <t>2025-06</t>
        </is>
      </c>
      <c r="B66" t="inlineStr">
        <is>
          <t>South</t>
        </is>
      </c>
      <c r="C66" t="inlineStr">
        <is>
          <t>Gadgets</t>
        </is>
      </c>
      <c r="D66" t="n">
        <v>87</v>
      </c>
      <c r="E66" s="7" t="n">
        <v>5220</v>
      </c>
    </row>
    <row r="67">
      <c r="A67" t="inlineStr">
        <is>
          <t>2025-06</t>
        </is>
      </c>
      <c r="B67" t="inlineStr">
        <is>
          <t>South</t>
        </is>
      </c>
      <c r="C67" t="inlineStr">
        <is>
          <t>Gizmos</t>
        </is>
      </c>
      <c r="D67" t="n">
        <v>49</v>
      </c>
      <c r="E67" s="7" t="n">
        <v>5880</v>
      </c>
    </row>
    <row r="68">
      <c r="A68" t="inlineStr">
        <is>
          <t>2025-06</t>
        </is>
      </c>
      <c r="B68" t="inlineStr">
        <is>
          <t>East</t>
        </is>
      </c>
      <c r="C68" t="inlineStr">
        <is>
          <t>Widgets</t>
        </is>
      </c>
      <c r="D68" t="n">
        <v>161</v>
      </c>
      <c r="E68" s="7" t="n">
        <v>4025</v>
      </c>
    </row>
    <row r="69">
      <c r="A69" t="inlineStr">
        <is>
          <t>2025-06</t>
        </is>
      </c>
      <c r="B69" t="inlineStr">
        <is>
          <t>East</t>
        </is>
      </c>
      <c r="C69" t="inlineStr">
        <is>
          <t>Gadgets</t>
        </is>
      </c>
      <c r="D69" t="n">
        <v>108</v>
      </c>
      <c r="E69" s="7" t="n">
        <v>6480</v>
      </c>
    </row>
    <row r="70">
      <c r="A70" t="inlineStr">
        <is>
          <t>2025-06</t>
        </is>
      </c>
      <c r="B70" t="inlineStr">
        <is>
          <t>East</t>
        </is>
      </c>
      <c r="C70" t="inlineStr">
        <is>
          <t>Gizmos</t>
        </is>
      </c>
      <c r="D70" t="n">
        <v>60</v>
      </c>
      <c r="E70" s="7" t="n">
        <v>7200</v>
      </c>
    </row>
    <row r="71">
      <c r="A71" t="inlineStr">
        <is>
          <t>2025-06</t>
        </is>
      </c>
      <c r="B71" t="inlineStr">
        <is>
          <t>West</t>
        </is>
      </c>
      <c r="C71" t="inlineStr">
        <is>
          <t>Widgets</t>
        </is>
      </c>
      <c r="D71" t="n">
        <v>146</v>
      </c>
      <c r="E71" s="7" t="n">
        <v>3650</v>
      </c>
    </row>
    <row r="72">
      <c r="A72" t="inlineStr">
        <is>
          <t>2025-06</t>
        </is>
      </c>
      <c r="B72" t="inlineStr">
        <is>
          <t>West</t>
        </is>
      </c>
      <c r="C72" t="inlineStr">
        <is>
          <t>Gadgets</t>
        </is>
      </c>
      <c r="D72" t="n">
        <v>97</v>
      </c>
      <c r="E72" s="7" t="n">
        <v>5820</v>
      </c>
    </row>
    <row r="73">
      <c r="A73" t="inlineStr">
        <is>
          <t>2025-06</t>
        </is>
      </c>
      <c r="B73" t="inlineStr">
        <is>
          <t>West</t>
        </is>
      </c>
      <c r="C73" t="inlineStr">
        <is>
          <t>Gizmos</t>
        </is>
      </c>
      <c r="D73" t="n">
        <v>55</v>
      </c>
      <c r="E73" s="7" t="n">
        <v>6600</v>
      </c>
    </row>
    <row r="74">
      <c r="A74" t="inlineStr">
        <is>
          <t>2025-07</t>
        </is>
      </c>
      <c r="B74" t="inlineStr">
        <is>
          <t>North</t>
        </is>
      </c>
      <c r="C74" t="inlineStr">
        <is>
          <t>Widgets</t>
        </is>
      </c>
      <c r="D74" t="n">
        <v>156</v>
      </c>
      <c r="E74" s="7" t="n">
        <v>3900</v>
      </c>
    </row>
    <row r="75">
      <c r="A75" t="inlineStr">
        <is>
          <t>2025-07</t>
        </is>
      </c>
      <c r="B75" t="inlineStr">
        <is>
          <t>North</t>
        </is>
      </c>
      <c r="C75" t="inlineStr">
        <is>
          <t>Gadgets</t>
        </is>
      </c>
      <c r="D75" t="n">
        <v>104</v>
      </c>
      <c r="E75" s="7" t="n">
        <v>6240</v>
      </c>
    </row>
    <row r="76">
      <c r="A76" t="inlineStr">
        <is>
          <t>2025-07</t>
        </is>
      </c>
      <c r="B76" t="inlineStr">
        <is>
          <t>North</t>
        </is>
      </c>
      <c r="C76" t="inlineStr">
        <is>
          <t>Gizmos</t>
        </is>
      </c>
      <c r="D76" t="n">
        <v>58</v>
      </c>
      <c r="E76" s="7" t="n">
        <v>6960</v>
      </c>
    </row>
    <row r="77">
      <c r="A77" t="inlineStr">
        <is>
          <t>2025-07</t>
        </is>
      </c>
      <c r="B77" t="inlineStr">
        <is>
          <t>South</t>
        </is>
      </c>
      <c r="C77" t="inlineStr">
        <is>
          <t>Widgets</t>
        </is>
      </c>
      <c r="D77" t="n">
        <v>102</v>
      </c>
      <c r="E77" s="7" t="n">
        <v>2550</v>
      </c>
    </row>
    <row r="78">
      <c r="A78" t="inlineStr">
        <is>
          <t>2025-07</t>
        </is>
      </c>
      <c r="B78" t="inlineStr">
        <is>
          <t>South</t>
        </is>
      </c>
      <c r="C78" t="inlineStr">
        <is>
          <t>Gadgets</t>
        </is>
      </c>
      <c r="D78" t="n">
        <v>68</v>
      </c>
      <c r="E78" s="7" t="n">
        <v>4080</v>
      </c>
    </row>
    <row r="79">
      <c r="A79" t="inlineStr">
        <is>
          <t>2025-07</t>
        </is>
      </c>
      <c r="B79" t="inlineStr">
        <is>
          <t>South</t>
        </is>
      </c>
      <c r="C79" t="inlineStr">
        <is>
          <t>Gizmos</t>
        </is>
      </c>
      <c r="D79" t="n">
        <v>38</v>
      </c>
      <c r="E79" s="7" t="n">
        <v>4560</v>
      </c>
    </row>
    <row r="80">
      <c r="A80" t="inlineStr">
        <is>
          <t>2025-07</t>
        </is>
      </c>
      <c r="B80" t="inlineStr">
        <is>
          <t>East</t>
        </is>
      </c>
      <c r="C80" t="inlineStr">
        <is>
          <t>Widgets</t>
        </is>
      </c>
      <c r="D80" t="n">
        <v>126</v>
      </c>
      <c r="E80" s="7" t="n">
        <v>3150</v>
      </c>
    </row>
    <row r="81">
      <c r="A81" t="inlineStr">
        <is>
          <t>2025-07</t>
        </is>
      </c>
      <c r="B81" t="inlineStr">
        <is>
          <t>East</t>
        </is>
      </c>
      <c r="C81" t="inlineStr">
        <is>
          <t>Gadgets</t>
        </is>
      </c>
      <c r="D81" t="n">
        <v>84</v>
      </c>
      <c r="E81" s="7" t="n">
        <v>5040</v>
      </c>
    </row>
    <row r="82">
      <c r="A82" t="inlineStr">
        <is>
          <t>2025-07</t>
        </is>
      </c>
      <c r="B82" t="inlineStr">
        <is>
          <t>East</t>
        </is>
      </c>
      <c r="C82" t="inlineStr">
        <is>
          <t>Gizmos</t>
        </is>
      </c>
      <c r="D82" t="n">
        <v>47</v>
      </c>
      <c r="E82" s="7" t="n">
        <v>5640</v>
      </c>
    </row>
    <row r="83">
      <c r="A83" t="inlineStr">
        <is>
          <t>2025-07</t>
        </is>
      </c>
      <c r="B83" t="inlineStr">
        <is>
          <t>West</t>
        </is>
      </c>
      <c r="C83" t="inlineStr">
        <is>
          <t>Widgets</t>
        </is>
      </c>
      <c r="D83" t="n">
        <v>114</v>
      </c>
      <c r="E83" s="7" t="n">
        <v>2850</v>
      </c>
    </row>
    <row r="84">
      <c r="A84" t="inlineStr">
        <is>
          <t>2025-07</t>
        </is>
      </c>
      <c r="B84" t="inlineStr">
        <is>
          <t>West</t>
        </is>
      </c>
      <c r="C84" t="inlineStr">
        <is>
          <t>Gadgets</t>
        </is>
      </c>
      <c r="D84" t="n">
        <v>76</v>
      </c>
      <c r="E84" s="7" t="n">
        <v>4560</v>
      </c>
    </row>
    <row r="85">
      <c r="A85" t="inlineStr">
        <is>
          <t>2025-07</t>
        </is>
      </c>
      <c r="B85" t="inlineStr">
        <is>
          <t>West</t>
        </is>
      </c>
      <c r="C85" t="inlineStr">
        <is>
          <t>Gizmos</t>
        </is>
      </c>
      <c r="D85" t="n">
        <v>43</v>
      </c>
      <c r="E85" s="7" t="n">
        <v>5160</v>
      </c>
    </row>
    <row r="86">
      <c r="A86" t="inlineStr">
        <is>
          <t>2025-08</t>
        </is>
      </c>
      <c r="B86" t="inlineStr">
        <is>
          <t>North</t>
        </is>
      </c>
      <c r="C86" t="inlineStr">
        <is>
          <t>Widgets</t>
        </is>
      </c>
      <c r="D86" t="n">
        <v>165</v>
      </c>
      <c r="E86" s="7" t="n">
        <v>4125</v>
      </c>
    </row>
    <row r="87">
      <c r="A87" t="inlineStr">
        <is>
          <t>2025-08</t>
        </is>
      </c>
      <c r="B87" t="inlineStr">
        <is>
          <t>North</t>
        </is>
      </c>
      <c r="C87" t="inlineStr">
        <is>
          <t>Gadgets</t>
        </is>
      </c>
      <c r="D87" t="n">
        <v>110</v>
      </c>
      <c r="E87" s="7" t="n">
        <v>6600</v>
      </c>
    </row>
    <row r="88">
      <c r="A88" t="inlineStr">
        <is>
          <t>2025-08</t>
        </is>
      </c>
      <c r="B88" t="inlineStr">
        <is>
          <t>North</t>
        </is>
      </c>
      <c r="C88" t="inlineStr">
        <is>
          <t>Gizmos</t>
        </is>
      </c>
      <c r="D88" t="n">
        <v>62</v>
      </c>
      <c r="E88" s="7" t="n">
        <v>7440</v>
      </c>
    </row>
    <row r="89">
      <c r="A89" t="inlineStr">
        <is>
          <t>2025-08</t>
        </is>
      </c>
      <c r="B89" t="inlineStr">
        <is>
          <t>South</t>
        </is>
      </c>
      <c r="C89" t="inlineStr">
        <is>
          <t>Widgets</t>
        </is>
      </c>
      <c r="D89" t="n">
        <v>108</v>
      </c>
      <c r="E89" s="7" t="n">
        <v>2700</v>
      </c>
    </row>
    <row r="90">
      <c r="A90" t="inlineStr">
        <is>
          <t>2025-08</t>
        </is>
      </c>
      <c r="B90" t="inlineStr">
        <is>
          <t>South</t>
        </is>
      </c>
      <c r="C90" t="inlineStr">
        <is>
          <t>Gadgets</t>
        </is>
      </c>
      <c r="D90" t="n">
        <v>72</v>
      </c>
      <c r="E90" s="7" t="n">
        <v>4320</v>
      </c>
    </row>
    <row r="91">
      <c r="A91" t="inlineStr">
        <is>
          <t>2025-08</t>
        </is>
      </c>
      <c r="B91" t="inlineStr">
        <is>
          <t>South</t>
        </is>
      </c>
      <c r="C91" t="inlineStr">
        <is>
          <t>Gizmos</t>
        </is>
      </c>
      <c r="D91" t="n">
        <v>40</v>
      </c>
      <c r="E91" s="7" t="n">
        <v>4800</v>
      </c>
    </row>
    <row r="92">
      <c r="A92" t="inlineStr">
        <is>
          <t>2025-08</t>
        </is>
      </c>
      <c r="B92" t="inlineStr">
        <is>
          <t>East</t>
        </is>
      </c>
      <c r="C92" t="inlineStr">
        <is>
          <t>Widgets</t>
        </is>
      </c>
      <c r="D92" t="n">
        <v>133</v>
      </c>
      <c r="E92" s="7" t="n">
        <v>3325</v>
      </c>
    </row>
    <row r="93">
      <c r="A93" t="inlineStr">
        <is>
          <t>2025-08</t>
        </is>
      </c>
      <c r="B93" t="inlineStr">
        <is>
          <t>East</t>
        </is>
      </c>
      <c r="C93" t="inlineStr">
        <is>
          <t>Gadgets</t>
        </is>
      </c>
      <c r="D93" t="n">
        <v>89</v>
      </c>
      <c r="E93" s="7" t="n">
        <v>5340</v>
      </c>
    </row>
    <row r="94">
      <c r="A94" t="inlineStr">
        <is>
          <t>2025-08</t>
        </is>
      </c>
      <c r="B94" t="inlineStr">
        <is>
          <t>East</t>
        </is>
      </c>
      <c r="C94" t="inlineStr">
        <is>
          <t>Gizmos</t>
        </is>
      </c>
      <c r="D94" t="n">
        <v>50</v>
      </c>
      <c r="E94" s="7" t="n">
        <v>6000</v>
      </c>
    </row>
    <row r="95">
      <c r="A95" t="inlineStr">
        <is>
          <t>2025-08</t>
        </is>
      </c>
      <c r="B95" t="inlineStr">
        <is>
          <t>West</t>
        </is>
      </c>
      <c r="C95" t="inlineStr">
        <is>
          <t>Widgets</t>
        </is>
      </c>
      <c r="D95" t="n">
        <v>120</v>
      </c>
      <c r="E95" s="7" t="n">
        <v>3000</v>
      </c>
    </row>
    <row r="96">
      <c r="A96" t="inlineStr">
        <is>
          <t>2025-08</t>
        </is>
      </c>
      <c r="B96" t="inlineStr">
        <is>
          <t>West</t>
        </is>
      </c>
      <c r="C96" t="inlineStr">
        <is>
          <t>Gadgets</t>
        </is>
      </c>
      <c r="D96" t="n">
        <v>80</v>
      </c>
      <c r="E96" s="7" t="n">
        <v>4800</v>
      </c>
    </row>
    <row r="97">
      <c r="A97" t="inlineStr">
        <is>
          <t>2025-08</t>
        </is>
      </c>
      <c r="B97" t="inlineStr">
        <is>
          <t>West</t>
        </is>
      </c>
      <c r="C97" t="inlineStr">
        <is>
          <t>Gizmos</t>
        </is>
      </c>
      <c r="D97" t="n">
        <v>45</v>
      </c>
      <c r="E97" s="7" t="n">
        <v>5400</v>
      </c>
    </row>
    <row r="98">
      <c r="A98" t="inlineStr">
        <is>
          <t>2025-09</t>
        </is>
      </c>
      <c r="B98" t="inlineStr">
        <is>
          <t>North</t>
        </is>
      </c>
      <c r="C98" t="inlineStr">
        <is>
          <t>Widgets</t>
        </is>
      </c>
      <c r="D98" t="n">
        <v>173</v>
      </c>
      <c r="E98" s="7" t="n">
        <v>4325</v>
      </c>
    </row>
    <row r="99">
      <c r="A99" t="inlineStr">
        <is>
          <t>2025-09</t>
        </is>
      </c>
      <c r="B99" t="inlineStr">
        <is>
          <t>North</t>
        </is>
      </c>
      <c r="C99" t="inlineStr">
        <is>
          <t>Gadgets</t>
        </is>
      </c>
      <c r="D99" t="n">
        <v>116</v>
      </c>
      <c r="E99" s="7" t="n">
        <v>6960</v>
      </c>
    </row>
    <row r="100">
      <c r="A100" t="inlineStr">
        <is>
          <t>2025-09</t>
        </is>
      </c>
      <c r="B100" t="inlineStr">
        <is>
          <t>North</t>
        </is>
      </c>
      <c r="C100" t="inlineStr">
        <is>
          <t>Gizmos</t>
        </is>
      </c>
      <c r="D100" t="n">
        <v>65</v>
      </c>
      <c r="E100" s="7" t="n">
        <v>7800</v>
      </c>
    </row>
    <row r="101">
      <c r="A101" t="inlineStr">
        <is>
          <t>2025-09</t>
        </is>
      </c>
      <c r="B101" t="inlineStr">
        <is>
          <t>South</t>
        </is>
      </c>
      <c r="C101" t="inlineStr">
        <is>
          <t>Widgets</t>
        </is>
      </c>
      <c r="D101" t="n">
        <v>113</v>
      </c>
      <c r="E101" s="7" t="n">
        <v>2825</v>
      </c>
    </row>
    <row r="102">
      <c r="A102" t="inlineStr">
        <is>
          <t>2025-09</t>
        </is>
      </c>
      <c r="B102" t="inlineStr">
        <is>
          <t>South</t>
        </is>
      </c>
      <c r="C102" t="inlineStr">
        <is>
          <t>Gadgets</t>
        </is>
      </c>
      <c r="D102" t="n">
        <v>76</v>
      </c>
      <c r="E102" s="7" t="n">
        <v>4560</v>
      </c>
    </row>
    <row r="103">
      <c r="A103" t="inlineStr">
        <is>
          <t>2025-09</t>
        </is>
      </c>
      <c r="B103" t="inlineStr">
        <is>
          <t>South</t>
        </is>
      </c>
      <c r="C103" t="inlineStr">
        <is>
          <t>Gizmos</t>
        </is>
      </c>
      <c r="D103" t="n">
        <v>43</v>
      </c>
      <c r="E103" s="7" t="n">
        <v>5160</v>
      </c>
    </row>
    <row r="104">
      <c r="A104" t="inlineStr">
        <is>
          <t>2025-09</t>
        </is>
      </c>
      <c r="B104" t="inlineStr">
        <is>
          <t>East</t>
        </is>
      </c>
      <c r="C104" t="inlineStr">
        <is>
          <t>Widgets</t>
        </is>
      </c>
      <c r="D104" t="n">
        <v>140</v>
      </c>
      <c r="E104" s="7" t="n">
        <v>3500</v>
      </c>
    </row>
    <row r="105">
      <c r="A105" t="inlineStr">
        <is>
          <t>2025-09</t>
        </is>
      </c>
      <c r="B105" t="inlineStr">
        <is>
          <t>East</t>
        </is>
      </c>
      <c r="C105" t="inlineStr">
        <is>
          <t>Gadgets</t>
        </is>
      </c>
      <c r="D105" t="n">
        <v>93</v>
      </c>
      <c r="E105" s="7" t="n">
        <v>5580</v>
      </c>
    </row>
    <row r="106">
      <c r="A106" t="inlineStr">
        <is>
          <t>2025-09</t>
        </is>
      </c>
      <c r="B106" t="inlineStr">
        <is>
          <t>East</t>
        </is>
      </c>
      <c r="C106" t="inlineStr">
        <is>
          <t>Gizmos</t>
        </is>
      </c>
      <c r="D106" t="n">
        <v>53</v>
      </c>
      <c r="E106" s="7" t="n">
        <v>6360</v>
      </c>
    </row>
    <row r="107">
      <c r="A107" t="inlineStr">
        <is>
          <t>2025-09</t>
        </is>
      </c>
      <c r="B107" t="inlineStr">
        <is>
          <t>West</t>
        </is>
      </c>
      <c r="C107" t="inlineStr">
        <is>
          <t>Widgets</t>
        </is>
      </c>
      <c r="D107" t="n">
        <v>127</v>
      </c>
      <c r="E107" s="7" t="n">
        <v>3175</v>
      </c>
    </row>
    <row r="108">
      <c r="A108" t="inlineStr">
        <is>
          <t>2025-09</t>
        </is>
      </c>
      <c r="B108" t="inlineStr">
        <is>
          <t>West</t>
        </is>
      </c>
      <c r="C108" t="inlineStr">
        <is>
          <t>Gadgets</t>
        </is>
      </c>
      <c r="D108" t="n">
        <v>85</v>
      </c>
      <c r="E108" s="7" t="n">
        <v>5100</v>
      </c>
    </row>
    <row r="109">
      <c r="A109" t="inlineStr">
        <is>
          <t>2025-09</t>
        </is>
      </c>
      <c r="B109" t="inlineStr">
        <is>
          <t>West</t>
        </is>
      </c>
      <c r="C109" t="inlineStr">
        <is>
          <t>Gizmos</t>
        </is>
      </c>
      <c r="D109" t="n">
        <v>48</v>
      </c>
      <c r="E109" s="7" t="n">
        <v>5760</v>
      </c>
    </row>
    <row r="110">
      <c r="A110" t="inlineStr">
        <is>
          <t>2025-10</t>
        </is>
      </c>
      <c r="B110" t="inlineStr">
        <is>
          <t>North</t>
        </is>
      </c>
      <c r="C110" t="inlineStr">
        <is>
          <t>Widgets</t>
        </is>
      </c>
      <c r="D110" t="n">
        <v>182</v>
      </c>
      <c r="E110" s="7" t="n">
        <v>4550</v>
      </c>
    </row>
    <row r="111">
      <c r="A111" t="inlineStr">
        <is>
          <t>2025-10</t>
        </is>
      </c>
      <c r="B111" t="inlineStr">
        <is>
          <t>North</t>
        </is>
      </c>
      <c r="C111" t="inlineStr">
        <is>
          <t>Gadgets</t>
        </is>
      </c>
      <c r="D111" t="n">
        <v>121</v>
      </c>
      <c r="E111" s="7" t="n">
        <v>7260</v>
      </c>
    </row>
    <row r="112">
      <c r="A112" t="inlineStr">
        <is>
          <t>2025-10</t>
        </is>
      </c>
      <c r="B112" t="inlineStr">
        <is>
          <t>North</t>
        </is>
      </c>
      <c r="C112" t="inlineStr">
        <is>
          <t>Gizmos</t>
        </is>
      </c>
      <c r="D112" t="n">
        <v>68</v>
      </c>
      <c r="E112" s="7" t="n">
        <v>8160</v>
      </c>
    </row>
    <row r="113">
      <c r="A113" t="inlineStr">
        <is>
          <t>2025-10</t>
        </is>
      </c>
      <c r="B113" t="inlineStr">
        <is>
          <t>South</t>
        </is>
      </c>
      <c r="C113" t="inlineStr">
        <is>
          <t>Widgets</t>
        </is>
      </c>
      <c r="D113" t="n">
        <v>119</v>
      </c>
      <c r="E113" s="7" t="n">
        <v>2975</v>
      </c>
    </row>
    <row r="114">
      <c r="A114" t="inlineStr">
        <is>
          <t>2025-10</t>
        </is>
      </c>
      <c r="B114" t="inlineStr">
        <is>
          <t>South</t>
        </is>
      </c>
      <c r="C114" t="inlineStr">
        <is>
          <t>Gadgets</t>
        </is>
      </c>
      <c r="D114" t="n">
        <v>79</v>
      </c>
      <c r="E114" s="7" t="n">
        <v>4740</v>
      </c>
    </row>
    <row r="115">
      <c r="A115" t="inlineStr">
        <is>
          <t>2025-10</t>
        </is>
      </c>
      <c r="B115" t="inlineStr">
        <is>
          <t>South</t>
        </is>
      </c>
      <c r="C115" t="inlineStr">
        <is>
          <t>Gizmos</t>
        </is>
      </c>
      <c r="D115" t="n">
        <v>45</v>
      </c>
      <c r="E115" s="7" t="n">
        <v>5400</v>
      </c>
    </row>
    <row r="116">
      <c r="A116" t="inlineStr">
        <is>
          <t>2025-10</t>
        </is>
      </c>
      <c r="B116" t="inlineStr">
        <is>
          <t>East</t>
        </is>
      </c>
      <c r="C116" t="inlineStr">
        <is>
          <t>Widgets</t>
        </is>
      </c>
      <c r="D116" t="n">
        <v>147</v>
      </c>
      <c r="E116" s="7" t="n">
        <v>3675</v>
      </c>
    </row>
    <row r="117">
      <c r="A117" t="inlineStr">
        <is>
          <t>2025-10</t>
        </is>
      </c>
      <c r="B117" t="inlineStr">
        <is>
          <t>East</t>
        </is>
      </c>
      <c r="C117" t="inlineStr">
        <is>
          <t>Gadgets</t>
        </is>
      </c>
      <c r="D117" t="n">
        <v>98</v>
      </c>
      <c r="E117" s="7" t="n">
        <v>5880</v>
      </c>
    </row>
    <row r="118">
      <c r="A118" t="inlineStr">
        <is>
          <t>2025-10</t>
        </is>
      </c>
      <c r="B118" t="inlineStr">
        <is>
          <t>East</t>
        </is>
      </c>
      <c r="C118" t="inlineStr">
        <is>
          <t>Gizmos</t>
        </is>
      </c>
      <c r="D118" t="n">
        <v>55</v>
      </c>
      <c r="E118" s="7" t="n">
        <v>6600</v>
      </c>
    </row>
    <row r="119">
      <c r="A119" t="inlineStr">
        <is>
          <t>2025-10</t>
        </is>
      </c>
      <c r="B119" t="inlineStr">
        <is>
          <t>West</t>
        </is>
      </c>
      <c r="C119" t="inlineStr">
        <is>
          <t>Widgets</t>
        </is>
      </c>
      <c r="D119" t="n">
        <v>133</v>
      </c>
      <c r="E119" s="7" t="n">
        <v>3325</v>
      </c>
    </row>
    <row r="120">
      <c r="A120" t="inlineStr">
        <is>
          <t>2025-10</t>
        </is>
      </c>
      <c r="B120" t="inlineStr">
        <is>
          <t>West</t>
        </is>
      </c>
      <c r="C120" t="inlineStr">
        <is>
          <t>Gadgets</t>
        </is>
      </c>
      <c r="D120" t="n">
        <v>89</v>
      </c>
      <c r="E120" s="7" t="n">
        <v>5340</v>
      </c>
    </row>
    <row r="121">
      <c r="A121" t="inlineStr">
        <is>
          <t>2025-10</t>
        </is>
      </c>
      <c r="B121" t="inlineStr">
        <is>
          <t>West</t>
        </is>
      </c>
      <c r="C121" t="inlineStr">
        <is>
          <t>Gizmos</t>
        </is>
      </c>
      <c r="D121" t="n">
        <v>50</v>
      </c>
      <c r="E121" s="7" t="n">
        <v>6000</v>
      </c>
    </row>
    <row r="122">
      <c r="A122" t="inlineStr">
        <is>
          <t>2025-11</t>
        </is>
      </c>
      <c r="B122" t="inlineStr">
        <is>
          <t>North</t>
        </is>
      </c>
      <c r="C122" t="inlineStr">
        <is>
          <t>Widgets</t>
        </is>
      </c>
      <c r="D122" t="n">
        <v>214</v>
      </c>
      <c r="E122" s="7" t="n">
        <v>5350</v>
      </c>
    </row>
    <row r="123">
      <c r="A123" t="inlineStr">
        <is>
          <t>2025-11</t>
        </is>
      </c>
      <c r="B123" t="inlineStr">
        <is>
          <t>North</t>
        </is>
      </c>
      <c r="C123" t="inlineStr">
        <is>
          <t>Gadgets</t>
        </is>
      </c>
      <c r="D123" t="n">
        <v>143</v>
      </c>
      <c r="E123" s="7" t="n">
        <v>8580</v>
      </c>
    </row>
    <row r="124">
      <c r="A124" t="inlineStr">
        <is>
          <t>2025-11</t>
        </is>
      </c>
      <c r="B124" t="inlineStr">
        <is>
          <t>North</t>
        </is>
      </c>
      <c r="C124" t="inlineStr">
        <is>
          <t>Gizmos</t>
        </is>
      </c>
      <c r="D124" t="n">
        <v>80</v>
      </c>
      <c r="E124" s="7" t="n">
        <v>9600</v>
      </c>
    </row>
    <row r="125">
      <c r="A125" t="inlineStr">
        <is>
          <t>2025-11</t>
        </is>
      </c>
      <c r="B125" t="inlineStr">
        <is>
          <t>South</t>
        </is>
      </c>
      <c r="C125" t="inlineStr">
        <is>
          <t>Widgets</t>
        </is>
      </c>
      <c r="D125" t="n">
        <v>140</v>
      </c>
      <c r="E125" s="7" t="n">
        <v>3500</v>
      </c>
    </row>
    <row r="126">
      <c r="A126" t="inlineStr">
        <is>
          <t>2025-11</t>
        </is>
      </c>
      <c r="B126" t="inlineStr">
        <is>
          <t>South</t>
        </is>
      </c>
      <c r="C126" t="inlineStr">
        <is>
          <t>Gadgets</t>
        </is>
      </c>
      <c r="D126" t="n">
        <v>93</v>
      </c>
      <c r="E126" s="7" t="n">
        <v>5580</v>
      </c>
    </row>
    <row r="127">
      <c r="A127" t="inlineStr">
        <is>
          <t>2025-11</t>
        </is>
      </c>
      <c r="B127" t="inlineStr">
        <is>
          <t>South</t>
        </is>
      </c>
      <c r="C127" t="inlineStr">
        <is>
          <t>Gizmos</t>
        </is>
      </c>
      <c r="D127" t="n">
        <v>53</v>
      </c>
      <c r="E127" s="7" t="n">
        <v>6360</v>
      </c>
    </row>
    <row r="128">
      <c r="A128" t="inlineStr">
        <is>
          <t>2025-11</t>
        </is>
      </c>
      <c r="B128" t="inlineStr">
        <is>
          <t>East</t>
        </is>
      </c>
      <c r="C128" t="inlineStr">
        <is>
          <t>Widgets</t>
        </is>
      </c>
      <c r="D128" t="n">
        <v>173</v>
      </c>
      <c r="E128" s="7" t="n">
        <v>4325</v>
      </c>
    </row>
    <row r="129">
      <c r="A129" t="inlineStr">
        <is>
          <t>2025-11</t>
        </is>
      </c>
      <c r="B129" t="inlineStr">
        <is>
          <t>East</t>
        </is>
      </c>
      <c r="C129" t="inlineStr">
        <is>
          <t>Gadgets</t>
        </is>
      </c>
      <c r="D129" t="n">
        <v>115</v>
      </c>
      <c r="E129" s="7" t="n">
        <v>6900</v>
      </c>
    </row>
    <row r="130">
      <c r="A130" t="inlineStr">
        <is>
          <t>2025-11</t>
        </is>
      </c>
      <c r="B130" t="inlineStr">
        <is>
          <t>East</t>
        </is>
      </c>
      <c r="C130" t="inlineStr">
        <is>
          <t>Gizmos</t>
        </is>
      </c>
      <c r="D130" t="n">
        <v>65</v>
      </c>
      <c r="E130" s="7" t="n">
        <v>7800</v>
      </c>
    </row>
    <row r="131">
      <c r="A131" t="inlineStr">
        <is>
          <t>2025-11</t>
        </is>
      </c>
      <c r="B131" t="inlineStr">
        <is>
          <t>West</t>
        </is>
      </c>
      <c r="C131" t="inlineStr">
        <is>
          <t>Widgets</t>
        </is>
      </c>
      <c r="D131" t="n">
        <v>157</v>
      </c>
      <c r="E131" s="7" t="n">
        <v>3925</v>
      </c>
    </row>
    <row r="132">
      <c r="A132" t="inlineStr">
        <is>
          <t>2025-11</t>
        </is>
      </c>
      <c r="B132" t="inlineStr">
        <is>
          <t>West</t>
        </is>
      </c>
      <c r="C132" t="inlineStr">
        <is>
          <t>Gadgets</t>
        </is>
      </c>
      <c r="D132" t="n">
        <v>104</v>
      </c>
      <c r="E132" s="7" t="n">
        <v>6240</v>
      </c>
    </row>
    <row r="133">
      <c r="A133" t="inlineStr">
        <is>
          <t>2025-11</t>
        </is>
      </c>
      <c r="B133" t="inlineStr">
        <is>
          <t>West</t>
        </is>
      </c>
      <c r="C133" t="inlineStr">
        <is>
          <t>Gizmos</t>
        </is>
      </c>
      <c r="D133" t="n">
        <v>59</v>
      </c>
      <c r="E133" s="7" t="n">
        <v>7080</v>
      </c>
    </row>
    <row r="134">
      <c r="A134" t="inlineStr">
        <is>
          <t>2025-12</t>
        </is>
      </c>
      <c r="B134" t="inlineStr">
        <is>
          <t>North</t>
        </is>
      </c>
      <c r="C134" t="inlineStr">
        <is>
          <t>Widgets</t>
        </is>
      </c>
      <c r="D134" t="n">
        <v>223</v>
      </c>
      <c r="E134" s="7" t="n">
        <v>5575</v>
      </c>
    </row>
    <row r="135">
      <c r="A135" t="inlineStr">
        <is>
          <t>2025-12</t>
        </is>
      </c>
      <c r="B135" t="inlineStr">
        <is>
          <t>North</t>
        </is>
      </c>
      <c r="C135" t="inlineStr">
        <is>
          <t>Gadgets</t>
        </is>
      </c>
      <c r="D135" t="n">
        <v>149</v>
      </c>
      <c r="E135" s="7" t="n">
        <v>8940</v>
      </c>
    </row>
    <row r="136">
      <c r="A136" t="inlineStr">
        <is>
          <t>2025-12</t>
        </is>
      </c>
      <c r="B136" t="inlineStr">
        <is>
          <t>North</t>
        </is>
      </c>
      <c r="C136" t="inlineStr">
        <is>
          <t>Gizmos</t>
        </is>
      </c>
      <c r="D136" t="n">
        <v>84</v>
      </c>
      <c r="E136" s="7" t="n">
        <v>10080</v>
      </c>
    </row>
    <row r="137">
      <c r="A137" t="inlineStr">
        <is>
          <t>2025-12</t>
        </is>
      </c>
      <c r="B137" t="inlineStr">
        <is>
          <t>South</t>
        </is>
      </c>
      <c r="C137" t="inlineStr">
        <is>
          <t>Widgets</t>
        </is>
      </c>
      <c r="D137" t="n">
        <v>146</v>
      </c>
      <c r="E137" s="7" t="n">
        <v>3650</v>
      </c>
    </row>
    <row r="138">
      <c r="A138" t="inlineStr">
        <is>
          <t>2025-12</t>
        </is>
      </c>
      <c r="B138" t="inlineStr">
        <is>
          <t>South</t>
        </is>
      </c>
      <c r="C138" t="inlineStr">
        <is>
          <t>Gadgets</t>
        </is>
      </c>
      <c r="D138" t="n">
        <v>97</v>
      </c>
      <c r="E138" s="7" t="n">
        <v>5820</v>
      </c>
    </row>
    <row r="139">
      <c r="A139" t="inlineStr">
        <is>
          <t>2025-12</t>
        </is>
      </c>
      <c r="B139" t="inlineStr">
        <is>
          <t>South</t>
        </is>
      </c>
      <c r="C139" t="inlineStr">
        <is>
          <t>Gizmos</t>
        </is>
      </c>
      <c r="D139" t="n">
        <v>55</v>
      </c>
      <c r="E139" s="7" t="n">
        <v>6600</v>
      </c>
    </row>
    <row r="140">
      <c r="A140" t="inlineStr">
        <is>
          <t>2025-12</t>
        </is>
      </c>
      <c r="B140" t="inlineStr">
        <is>
          <t>East</t>
        </is>
      </c>
      <c r="C140" t="inlineStr">
        <is>
          <t>Widgets</t>
        </is>
      </c>
      <c r="D140" t="n">
        <v>180</v>
      </c>
      <c r="E140" s="7" t="n">
        <v>4500</v>
      </c>
    </row>
    <row r="141">
      <c r="A141" t="inlineStr">
        <is>
          <t>2025-12</t>
        </is>
      </c>
      <c r="B141" t="inlineStr">
        <is>
          <t>East</t>
        </is>
      </c>
      <c r="C141" t="inlineStr">
        <is>
          <t>Gadgets</t>
        </is>
      </c>
      <c r="D141" t="n">
        <v>120</v>
      </c>
      <c r="E141" s="7" t="n">
        <v>7200</v>
      </c>
    </row>
    <row r="142">
      <c r="A142" t="inlineStr">
        <is>
          <t>2025-12</t>
        </is>
      </c>
      <c r="B142" t="inlineStr">
        <is>
          <t>East</t>
        </is>
      </c>
      <c r="C142" t="inlineStr">
        <is>
          <t>Gizmos</t>
        </is>
      </c>
      <c r="D142" t="n">
        <v>68</v>
      </c>
      <c r="E142" s="7" t="n">
        <v>8160</v>
      </c>
    </row>
    <row r="143">
      <c r="A143" t="inlineStr">
        <is>
          <t>2025-12</t>
        </is>
      </c>
      <c r="B143" t="inlineStr">
        <is>
          <t>West</t>
        </is>
      </c>
      <c r="C143" t="inlineStr">
        <is>
          <t>Widgets</t>
        </is>
      </c>
      <c r="D143" t="n">
        <v>163</v>
      </c>
      <c r="E143" s="7" t="n">
        <v>4075</v>
      </c>
    </row>
    <row r="144">
      <c r="A144" t="inlineStr">
        <is>
          <t>2025-12</t>
        </is>
      </c>
      <c r="B144" t="inlineStr">
        <is>
          <t>West</t>
        </is>
      </c>
      <c r="C144" t="inlineStr">
        <is>
          <t>Gadgets</t>
        </is>
      </c>
      <c r="D144" t="n">
        <v>109</v>
      </c>
      <c r="E144" s="7" t="n">
        <v>6540</v>
      </c>
    </row>
    <row r="145">
      <c r="A145" t="inlineStr">
        <is>
          <t>2025-12</t>
        </is>
      </c>
      <c r="B145" t="inlineStr">
        <is>
          <t>West</t>
        </is>
      </c>
      <c r="C145" t="inlineStr">
        <is>
          <t>Gizmos</t>
        </is>
      </c>
      <c r="D145" t="n">
        <v>61</v>
      </c>
      <c r="E145" s="7" t="n">
        <v>7320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Month</t>
        </is>
      </c>
      <c r="B1" s="8" t="inlineStr">
        <is>
          <t>Revenue</t>
        </is>
      </c>
      <c r="C1" s="8" t="inlineStr">
        <is>
          <t>Units</t>
        </is>
      </c>
    </row>
    <row r="2">
      <c r="A2" t="inlineStr">
        <is>
          <t>Jan</t>
        </is>
      </c>
      <c r="B2" s="7">
        <f>SUMIF(Data!$A$2:$A$145,"2025-01",Data!$E$2:$E$145)</f>
        <v/>
      </c>
      <c r="C2">
        <f>SUMIF(Data!$A$2:$A$145,"2025-01",Data!$D$2:$D$145)</f>
        <v/>
      </c>
    </row>
    <row r="3">
      <c r="A3" t="inlineStr">
        <is>
          <t>Feb</t>
        </is>
      </c>
      <c r="B3" s="7">
        <f>SUMIF(Data!$A$2:$A$145,"2025-02",Data!$E$2:$E$145)</f>
        <v/>
      </c>
      <c r="C3">
        <f>SUMIF(Data!$A$2:$A$145,"2025-02",Data!$D$2:$D$145)</f>
        <v/>
      </c>
    </row>
    <row r="4">
      <c r="A4" t="inlineStr">
        <is>
          <t>Mar</t>
        </is>
      </c>
      <c r="B4" s="7">
        <f>SUMIF(Data!$A$2:$A$145,"2025-03",Data!$E$2:$E$145)</f>
        <v/>
      </c>
      <c r="C4">
        <f>SUMIF(Data!$A$2:$A$145,"2025-03",Data!$D$2:$D$145)</f>
        <v/>
      </c>
    </row>
    <row r="5">
      <c r="A5" t="inlineStr">
        <is>
          <t>Apr</t>
        </is>
      </c>
      <c r="B5" s="7">
        <f>SUMIF(Data!$A$2:$A$145,"2025-04",Data!$E$2:$E$145)</f>
        <v/>
      </c>
      <c r="C5">
        <f>SUMIF(Data!$A$2:$A$145,"2025-04",Data!$D$2:$D$145)</f>
        <v/>
      </c>
    </row>
    <row r="6">
      <c r="A6" t="inlineStr">
        <is>
          <t>May</t>
        </is>
      </c>
      <c r="B6" s="7">
        <f>SUMIF(Data!$A$2:$A$145,"2025-05",Data!$E$2:$E$145)</f>
        <v/>
      </c>
      <c r="C6">
        <f>SUMIF(Data!$A$2:$A$145,"2025-05",Data!$D$2:$D$145)</f>
        <v/>
      </c>
    </row>
    <row r="7">
      <c r="A7" t="inlineStr">
        <is>
          <t>Jun</t>
        </is>
      </c>
      <c r="B7" s="7">
        <f>SUMIF(Data!$A$2:$A$145,"2025-06",Data!$E$2:$E$145)</f>
        <v/>
      </c>
      <c r="C7">
        <f>SUMIF(Data!$A$2:$A$145,"2025-06",Data!$D$2:$D$145)</f>
        <v/>
      </c>
    </row>
    <row r="8">
      <c r="A8" t="inlineStr">
        <is>
          <t>Jul</t>
        </is>
      </c>
      <c r="B8" s="7">
        <f>SUMIF(Data!$A$2:$A$145,"2025-07",Data!$E$2:$E$145)</f>
        <v/>
      </c>
      <c r="C8">
        <f>SUMIF(Data!$A$2:$A$145,"2025-07",Data!$D$2:$D$145)</f>
        <v/>
      </c>
    </row>
    <row r="9">
      <c r="A9" t="inlineStr">
        <is>
          <t>Aug</t>
        </is>
      </c>
      <c r="B9" s="7">
        <f>SUMIF(Data!$A$2:$A$145,"2025-08",Data!$E$2:$E$145)</f>
        <v/>
      </c>
      <c r="C9">
        <f>SUMIF(Data!$A$2:$A$145,"2025-08",Data!$D$2:$D$145)</f>
        <v/>
      </c>
    </row>
    <row r="10">
      <c r="A10" t="inlineStr">
        <is>
          <t>Sep</t>
        </is>
      </c>
      <c r="B10" s="7">
        <f>SUMIF(Data!$A$2:$A$145,"2025-09",Data!$E$2:$E$145)</f>
        <v/>
      </c>
      <c r="C10">
        <f>SUMIF(Data!$A$2:$A$145,"2025-09",Data!$D$2:$D$145)</f>
        <v/>
      </c>
    </row>
    <row r="11">
      <c r="A11" t="inlineStr">
        <is>
          <t>Oct</t>
        </is>
      </c>
      <c r="B11" s="7">
        <f>SUMIF(Data!$A$2:$A$145,"2025-10",Data!$E$2:$E$145)</f>
        <v/>
      </c>
      <c r="C11">
        <f>SUMIF(Data!$A$2:$A$145,"2025-10",Data!$D$2:$D$145)</f>
        <v/>
      </c>
    </row>
    <row r="12">
      <c r="A12" t="inlineStr">
        <is>
          <t>Nov</t>
        </is>
      </c>
      <c r="B12" s="7">
        <f>SUMIF(Data!$A$2:$A$145,"2025-11",Data!$E$2:$E$145)</f>
        <v/>
      </c>
      <c r="C12">
        <f>SUMIF(Data!$A$2:$A$145,"2025-11",Data!$D$2:$D$145)</f>
        <v/>
      </c>
    </row>
    <row r="13">
      <c r="A13" t="inlineStr">
        <is>
          <t>Dec</t>
        </is>
      </c>
      <c r="B13" s="7">
        <f>SUMIF(Data!$A$2:$A$145,"2025-12",Data!$E$2:$E$145)</f>
        <v/>
      </c>
      <c r="C13">
        <f>SUMIF(Data!$A$2:$A$145,"2025-12",Data!$D$2:$D$145)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Region</t>
        </is>
      </c>
      <c r="B1" s="8" t="inlineStr">
        <is>
          <t>Revenue</t>
        </is>
      </c>
    </row>
    <row r="2">
      <c r="A2" t="inlineStr">
        <is>
          <t>North</t>
        </is>
      </c>
      <c r="B2">
        <f>SUMIF(Data!$B$2:$B$145,"North",Data!$E$2:$E$145)</f>
        <v/>
      </c>
    </row>
    <row r="3">
      <c r="A3" t="inlineStr">
        <is>
          <t>South</t>
        </is>
      </c>
      <c r="B3">
        <f>SUMIF(Data!$B$2:$B$145,"South",Data!$E$2:$E$145)</f>
        <v/>
      </c>
    </row>
    <row r="4">
      <c r="A4" t="inlineStr">
        <is>
          <t>East</t>
        </is>
      </c>
      <c r="B4">
        <f>SUMIF(Data!$B$2:$B$145,"East",Data!$E$2:$E$145)</f>
        <v/>
      </c>
    </row>
    <row r="5">
      <c r="A5" t="inlineStr">
        <is>
          <t>West</t>
        </is>
      </c>
      <c r="B5">
        <f>SUMIF(Data!$B$2:$B$145,"West",Data!$E$2:$E$145)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Product</t>
        </is>
      </c>
      <c r="B1" s="8" t="inlineStr">
        <is>
          <t>Revenue</t>
        </is>
      </c>
    </row>
    <row r="2">
      <c r="A2" t="inlineStr">
        <is>
          <t>Widgets</t>
        </is>
      </c>
      <c r="B2">
        <f>SUMIF(Data!$C$2:$C$145,"Widgets",Data!$E$2:$E$145)</f>
        <v/>
      </c>
    </row>
    <row r="3">
      <c r="A3" t="inlineStr">
        <is>
          <t>Gadgets</t>
        </is>
      </c>
      <c r="B3">
        <f>SUMIF(Data!$C$2:$C$145,"Gadgets",Data!$E$2:$E$145)</f>
        <v/>
      </c>
    </row>
    <row r="4">
      <c r="A4" t="inlineStr">
        <is>
          <t>Gizmos</t>
        </is>
      </c>
      <c r="B4">
        <f>SUMIF(Data!$C$2:$C$145,"Gizmos",Data!$E$2:$E$145)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2026-07-02T20:24:26Z</dcterms:created>
  <dcterms:modified xsi:type="dcterms:W3CDTF">2026-07-02T20:24:26Z</dcterms:modified>
</cp:coreProperties>
</file>